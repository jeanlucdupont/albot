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l-du\Documents\Codex\2026-07-05\wr\outputs\"/>
    </mc:Choice>
  </mc:AlternateContent>
  <xr:revisionPtr revIDLastSave="0" documentId="13_ncr:1_{000AD2ED-27DF-427A-99B1-5629FA7D37EB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shboard" sheetId="1" r:id="rId1"/>
    <sheet name="Questionnaire" sheetId="2" r:id="rId2"/>
    <sheet name="Calculations" sheetId="3" r:id="rId3"/>
    <sheet name="Lists" sheetId="4" r:id="rId4"/>
  </sheets>
  <calcPr calcId="191029"/>
</workbook>
</file>

<file path=xl/calcChain.xml><?xml version="1.0" encoding="utf-8"?>
<calcChain xmlns="http://schemas.openxmlformats.org/spreadsheetml/2006/main">
  <c r="E5" i="1" l="1"/>
  <c r="E14" i="2"/>
  <c r="E7" i="2"/>
  <c r="A31" i="3"/>
  <c r="B31" i="3" s="1"/>
  <c r="A30" i="3"/>
  <c r="B30" i="3" s="1"/>
  <c r="A29" i="3"/>
  <c r="B29" i="3" s="1"/>
  <c r="A28" i="3"/>
  <c r="B28" i="3" s="1"/>
  <c r="A22" i="1" s="1"/>
  <c r="A27" i="3"/>
  <c r="B27" i="3" s="1"/>
  <c r="A26" i="3"/>
  <c r="B26" i="3" s="1"/>
  <c r="A20" i="1" s="1"/>
  <c r="A23" i="3"/>
  <c r="A22" i="3"/>
  <c r="A21" i="3"/>
  <c r="A20" i="3"/>
  <c r="A19" i="3"/>
  <c r="A18" i="3"/>
  <c r="A17" i="3"/>
  <c r="B11" i="3"/>
  <c r="B7" i="1" s="1"/>
  <c r="B8" i="3"/>
  <c r="B44" i="3" s="1"/>
  <c r="B7" i="3"/>
  <c r="B43" i="3" s="1"/>
  <c r="A33" i="1" s="1"/>
  <c r="B6" i="3"/>
  <c r="B15" i="1" s="1"/>
  <c r="B5" i="3"/>
  <c r="B41" i="3" s="1"/>
  <c r="A31" i="1" s="1"/>
  <c r="B4" i="3"/>
  <c r="B40" i="3" s="1"/>
  <c r="A30" i="1" s="1"/>
  <c r="B3" i="3"/>
  <c r="B39" i="3" s="1"/>
  <c r="A29" i="1" s="1"/>
  <c r="B2" i="3"/>
  <c r="B38" i="3" s="1"/>
  <c r="A28" i="1" s="1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3" i="2"/>
  <c r="E12" i="2"/>
  <c r="E11" i="2"/>
  <c r="E10" i="2"/>
  <c r="E9" i="2"/>
  <c r="E8" i="2"/>
  <c r="E6" i="2"/>
  <c r="E5" i="2"/>
  <c r="E10" i="1"/>
  <c r="E9" i="1"/>
  <c r="E8" i="1"/>
  <c r="E7" i="1"/>
  <c r="E6" i="1"/>
  <c r="E4" i="1"/>
  <c r="B12" i="3" l="1"/>
  <c r="B4" i="1" s="1"/>
  <c r="B6" i="1"/>
  <c r="B16" i="1"/>
  <c r="B14" i="1"/>
  <c r="B12" i="1"/>
  <c r="B13" i="1"/>
  <c r="C5" i="3"/>
  <c r="C14" i="1" s="1"/>
  <c r="A41" i="3"/>
  <c r="B20" i="3"/>
  <c r="F7" i="1" s="1"/>
  <c r="B11" i="1"/>
  <c r="C2" i="3"/>
  <c r="C11" i="1" s="1"/>
  <c r="C6" i="3"/>
  <c r="C15" i="1" s="1"/>
  <c r="A38" i="3"/>
  <c r="A42" i="3"/>
  <c r="B17" i="3"/>
  <c r="F4" i="1" s="1"/>
  <c r="B21" i="3"/>
  <c r="F8" i="1" s="1"/>
  <c r="B42" i="3"/>
  <c r="A32" i="1" s="1"/>
  <c r="B17" i="1"/>
  <c r="C3" i="3"/>
  <c r="C12" i="1" s="1"/>
  <c r="C7" i="3"/>
  <c r="C16" i="1" s="1"/>
  <c r="A39" i="3"/>
  <c r="A43" i="3"/>
  <c r="B18" i="3"/>
  <c r="F5" i="1" s="1"/>
  <c r="B22" i="3"/>
  <c r="F9" i="1" s="1"/>
  <c r="C4" i="3"/>
  <c r="C13" i="1" s="1"/>
  <c r="C8" i="3"/>
  <c r="C17" i="1" s="1"/>
  <c r="A40" i="3"/>
  <c r="A44" i="3"/>
  <c r="B19" i="3"/>
  <c r="F6" i="1" s="1"/>
  <c r="B23" i="3"/>
  <c r="F10" i="1" s="1"/>
  <c r="A36" i="3" l="1"/>
  <c r="A35" i="3"/>
  <c r="B35" i="3"/>
  <c r="A25" i="1" s="1"/>
  <c r="A37" i="3"/>
  <c r="B37" i="3"/>
  <c r="A27" i="1" s="1"/>
  <c r="B13" i="3"/>
  <c r="B5" i="1" s="1"/>
  <c r="B36" i="3"/>
  <c r="A26" i="1" s="1"/>
</calcChain>
</file>

<file path=xl/sharedStrings.xml><?xml version="1.0" encoding="utf-8"?>
<sst xmlns="http://schemas.openxmlformats.org/spreadsheetml/2006/main" count="123" uniqueCount="70">
  <si>
    <t>Risk Tolerance IQ</t>
  </si>
  <si>
    <t>Overall Cyber Risk Appetite</t>
  </si>
  <si>
    <t>Category</t>
  </si>
  <si>
    <t>Score</t>
  </si>
  <si>
    <t>Label</t>
  </si>
  <si>
    <t>Questions Answered</t>
  </si>
  <si>
    <t>Completion</t>
  </si>
  <si>
    <t>Suggested Governance Actions</t>
  </si>
  <si>
    <t>Risk Tolerance IQ - Questionnaire</t>
  </si>
  <si>
    <t>#</t>
  </si>
  <si>
    <t>Question</t>
  </si>
  <si>
    <t>Answer (1-5)</t>
  </si>
  <si>
    <t>Answer Label</t>
  </si>
  <si>
    <t>Business Impact</t>
  </si>
  <si>
    <t>How much disruption to your most critical business process would your organization tolerate?</t>
  </si>
  <si>
    <t>How willing is your organization to accept temporary service outages in exchange for lower operating costs?</t>
  </si>
  <si>
    <t>How much customer-facing downtime could your organization tolerate before it becomes a major business issue?</t>
  </si>
  <si>
    <t>How willing is leadership to delay a product launch due to unresolved cyber risk?</t>
  </si>
  <si>
    <t>How much cyber risk is acceptable if the business opportunity is strategically important?</t>
  </si>
  <si>
    <t>Financial Exposure</t>
  </si>
  <si>
    <t>How much financial loss from a cyber incident would your organization consider acceptable?</t>
  </si>
  <si>
    <t>How willing is your organization to accept higher cyber risk to reduce security spending?</t>
  </si>
  <si>
    <t>How comfortable is leadership with relying on cyber insurance instead of additional preventive controls?</t>
  </si>
  <si>
    <t>How willing is your organization to accept uncertain cyber costs rather than invest upfront?</t>
  </si>
  <si>
    <t>How much budget flexibility exists to address urgent cyber risks when they appear?</t>
  </si>
  <si>
    <t>Regulatory &amp; Legal</t>
  </si>
  <si>
    <t>How much tolerance does your organization have for regulatory findings or audit exceptions?</t>
  </si>
  <si>
    <t>How willing is the organization to operate with known compliance gaps for a limited period?</t>
  </si>
  <si>
    <t>How much legal exposure would leadership accept to support a business priority?</t>
  </si>
  <si>
    <t>How willing is the organization to launch new services before all compliance concerns are fully resolved?</t>
  </si>
  <si>
    <t>How much tolerance does the organization have for delayed remediation of audit findings?</t>
  </si>
  <si>
    <t>Data &amp; Privacy</t>
  </si>
  <si>
    <t>How much risk is acceptable when handling sensitive customer or employee data?</t>
  </si>
  <si>
    <t>How willing is the organization to collect more data than strictly necessary for business purposes?</t>
  </si>
  <si>
    <t>How comfortable is leadership with sharing sensitive data with third parties to improve efficiency?</t>
  </si>
  <si>
    <t>How willing is the organization to use sensitive data for analytics, AI, or personalization?</t>
  </si>
  <si>
    <t>How much privacy risk is acceptable if it improves customer experience or revenue?</t>
  </si>
  <si>
    <t>Reputation &amp; Trust</t>
  </si>
  <si>
    <t>How much reputational damage could the organization tolerate from a cyber incident?</t>
  </si>
  <si>
    <t>How willing is leadership to accept cyber risk that could become public?</t>
  </si>
  <si>
    <t>How much would customer trust be allowed to decline before leadership takes major action?</t>
  </si>
  <si>
    <t>How willing is the organization to take cyber risks that competitors may avoid?</t>
  </si>
  <si>
    <t>How much negative media attention from a cyber event would be considered manageable?</t>
  </si>
  <si>
    <t>Third-Party Risk</t>
  </si>
  <si>
    <t>How much cyber risk is acceptable when working with vendors or partners?</t>
  </si>
  <si>
    <t>How willing is the organization to onboard a vendor quickly before completing a full risk review?</t>
  </si>
  <si>
    <t>How comfortable is leadership with relying on vendor assurances instead of independent evidence?</t>
  </si>
  <si>
    <t>How much risk is acceptable when outsourcing critical business functions?</t>
  </si>
  <si>
    <t>How willing is the organization to continue using a vendor with known security weaknesses?</t>
  </si>
  <si>
    <t>Innovation &amp; Growth</t>
  </si>
  <si>
    <t>How willing is the organization to adopt new technology before risks are fully understood?</t>
  </si>
  <si>
    <t>How much security uncertainty is acceptable when experimenting with AI or automation?</t>
  </si>
  <si>
    <t>How willing is leadership to prioritize speed and innovation over security review?</t>
  </si>
  <si>
    <t>How comfortable is the organization with taking cyber risks to gain competitive advantage?</t>
  </si>
  <si>
    <t>How willing is the organization to accept short-term cyber risk for long-term business growth?</t>
  </si>
  <si>
    <t>Metric</t>
  </si>
  <si>
    <t>Value</t>
  </si>
  <si>
    <t>Questions answered</t>
  </si>
  <si>
    <t>Overall score</t>
  </si>
  <si>
    <t>Overall label</t>
  </si>
  <si>
    <t>Inconsistency</t>
  </si>
  <si>
    <t>Finding</t>
  </si>
  <si>
    <t>Action Type</t>
  </si>
  <si>
    <t>Suggested Governance Action</t>
  </si>
  <si>
    <t>Risk Appetite Label</t>
  </si>
  <si>
    <t>Very low risk appetite</t>
  </si>
  <si>
    <t>Low risk appetite</t>
  </si>
  <si>
    <t>Moderate risk appetite</t>
  </si>
  <si>
    <t>High risk appetite</t>
  </si>
  <si>
    <t>Very high risk appetite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</si>
</sst>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@"/>
    <numFmt numFmtId="165" formatCode="0.00;\-0.00;;@"/>
  </numFmts>
  <fonts count="17">
    <font>
      <sz val="11"/>
      <name val="Carlito"/>
    </font>
    <font>
      <sz val="11"/>
      <color theme="1"/>
      <name val="Calibri"/>
      <family val="2"/>
      <scheme val="minor"/>
    </font>
    <font>
      <b/>
      <sz val="11"/>
      <color rgb="FFFFFFFF"/>
      <name val="Carlito"/>
    </font>
    <font>
      <sz val="11"/>
      <color rgb="FF17202A"/>
      <name val="Carlito"/>
    </font>
    <font>
      <sz val="11"/>
      <color rgb="FFFFFFFF"/>
      <name val="Carlito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4254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22"/>
      <color rgb="FFFFFFFF"/>
      <name val="Calibri"/>
      <family val="2"/>
      <scheme val="minor"/>
    </font>
    <font>
      <b/>
      <sz val="20"/>
      <color rgb="FF1F5F9E"/>
      <name val="Calibri"/>
      <family val="2"/>
      <scheme val="minor"/>
    </font>
    <font>
      <sz val="12"/>
      <name val="Calibri"/>
      <family val="2"/>
      <scheme val="minor"/>
    </font>
    <font>
      <sz val="12"/>
      <color rgb="FF17202A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F3F6F9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rgb="FFB9C3CF"/>
      </left>
      <right/>
      <top style="thin">
        <color rgb="FFB9C3CF"/>
      </top>
      <bottom/>
      <diagonal/>
    </border>
    <border>
      <left/>
      <right style="thin">
        <color rgb="FFB9C3CF"/>
      </right>
      <top style="thin">
        <color rgb="FFB9C3CF"/>
      </top>
      <bottom/>
      <diagonal/>
    </border>
    <border>
      <left style="thin">
        <color rgb="FFB9C3CF"/>
      </left>
      <right/>
      <top/>
      <bottom/>
      <diagonal/>
    </border>
    <border>
      <left/>
      <right style="thin">
        <color rgb="FFB9C3CF"/>
      </right>
      <top/>
      <bottom/>
      <diagonal/>
    </border>
    <border>
      <left style="thin">
        <color rgb="FFB9C3CF"/>
      </left>
      <right/>
      <top/>
      <bottom style="thin">
        <color rgb="FFB9C3CF"/>
      </bottom>
      <diagonal/>
    </border>
    <border>
      <left/>
      <right style="thin">
        <color rgb="FFB9C3CF"/>
      </right>
      <top/>
      <bottom style="thin">
        <color rgb="FFB9C3CF"/>
      </bottom>
      <diagonal/>
    </border>
    <border>
      <left/>
      <right/>
      <top/>
      <bottom style="thin">
        <color rgb="FFDCE3EB"/>
      </bottom>
      <diagonal/>
    </border>
    <border>
      <left/>
      <right/>
      <top style="thin">
        <color rgb="FFDCE3EB"/>
      </top>
      <bottom style="thin">
        <color rgb="FFDCE3EB"/>
      </bottom>
      <diagonal/>
    </border>
    <border>
      <left/>
      <right/>
      <top style="thin">
        <color rgb="FFDCE3EB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9">
    <xf numFmtId="0" fontId="0" fillId="0" borderId="0"/>
    <xf numFmtId="0" fontId="5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64">
    <xf numFmtId="0" fontId="0" fillId="0" borderId="0" xfId="0"/>
    <xf numFmtId="0" fontId="2" fillId="2" borderId="0" xfId="0" applyFont="1" applyFill="1"/>
    <xf numFmtId="164" fontId="0" fillId="0" borderId="0" xfId="0" applyNumberFormat="1"/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2" fontId="4" fillId="0" borderId="0" xfId="0" applyNumberFormat="1" applyFont="1"/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0" fontId="0" fillId="12" borderId="0" xfId="0" applyFill="1"/>
    <xf numFmtId="1" fontId="1" fillId="5" borderId="7" xfId="2" applyNumberFormat="1" applyBorder="1" applyAlignment="1">
      <alignment vertical="top"/>
    </xf>
    <xf numFmtId="0" fontId="1" fillId="5" borderId="7" xfId="2" applyBorder="1" applyAlignment="1">
      <alignment vertical="top"/>
    </xf>
    <xf numFmtId="1" fontId="1" fillId="5" borderId="8" xfId="2" applyNumberFormat="1" applyBorder="1" applyAlignment="1">
      <alignment vertical="top"/>
    </xf>
    <xf numFmtId="0" fontId="1" fillId="5" borderId="8" xfId="2" applyBorder="1" applyAlignment="1">
      <alignment vertical="top"/>
    </xf>
    <xf numFmtId="1" fontId="1" fillId="7" borderId="8" xfId="4" applyNumberFormat="1" applyBorder="1" applyAlignment="1">
      <alignment vertical="top"/>
    </xf>
    <xf numFmtId="0" fontId="1" fillId="7" borderId="8" xfId="4" applyBorder="1" applyAlignment="1">
      <alignment vertical="top"/>
    </xf>
    <xf numFmtId="1" fontId="1" fillId="9" borderId="8" xfId="6" applyNumberFormat="1" applyBorder="1" applyAlignment="1">
      <alignment vertical="top"/>
    </xf>
    <xf numFmtId="0" fontId="1" fillId="9" borderId="8" xfId="6" applyBorder="1" applyAlignment="1">
      <alignment vertical="top"/>
    </xf>
    <xf numFmtId="1" fontId="1" fillId="10" borderId="8" xfId="7" applyNumberFormat="1" applyBorder="1" applyAlignment="1">
      <alignment vertical="top"/>
    </xf>
    <xf numFmtId="0" fontId="1" fillId="10" borderId="8" xfId="7" applyBorder="1" applyAlignment="1">
      <alignment vertical="top"/>
    </xf>
    <xf numFmtId="1" fontId="1" fillId="6" borderId="8" xfId="3" applyNumberFormat="1" applyBorder="1" applyAlignment="1">
      <alignment vertical="top"/>
    </xf>
    <xf numFmtId="0" fontId="1" fillId="6" borderId="8" xfId="3" applyBorder="1" applyAlignment="1">
      <alignment vertical="top"/>
    </xf>
    <xf numFmtId="1" fontId="1" fillId="8" borderId="8" xfId="5" applyNumberFormat="1" applyBorder="1" applyAlignment="1">
      <alignment vertical="top"/>
    </xf>
    <xf numFmtId="0" fontId="1" fillId="8" borderId="8" xfId="5" applyBorder="1" applyAlignment="1">
      <alignment vertical="top"/>
    </xf>
    <xf numFmtId="1" fontId="1" fillId="11" borderId="8" xfId="8" applyNumberFormat="1" applyBorder="1" applyAlignment="1">
      <alignment vertical="top"/>
    </xf>
    <xf numFmtId="0" fontId="1" fillId="11" borderId="8" xfId="8" applyBorder="1" applyAlignment="1">
      <alignment vertical="top"/>
    </xf>
    <xf numFmtId="1" fontId="1" fillId="11" borderId="9" xfId="8" applyNumberFormat="1" applyBorder="1" applyAlignment="1">
      <alignment vertical="top"/>
    </xf>
    <xf numFmtId="0" fontId="1" fillId="11" borderId="9" xfId="8" applyBorder="1" applyAlignment="1">
      <alignment vertical="top"/>
    </xf>
    <xf numFmtId="164" fontId="7" fillId="4" borderId="10" xfId="1" applyNumberFormat="1" applyFont="1" applyBorder="1" applyAlignment="1">
      <alignment horizontal="center" vertical="center" wrapText="1"/>
    </xf>
    <xf numFmtId="0" fontId="7" fillId="4" borderId="10" xfId="1" applyFont="1" applyBorder="1" applyAlignment="1">
      <alignment horizontal="center" vertical="center" wrapText="1"/>
    </xf>
    <xf numFmtId="0" fontId="6" fillId="4" borderId="0" xfId="1" applyFont="1"/>
    <xf numFmtId="0" fontId="7" fillId="4" borderId="0" xfId="1" applyFont="1"/>
    <xf numFmtId="0" fontId="8" fillId="5" borderId="8" xfId="2" applyFont="1" applyBorder="1" applyAlignment="1">
      <alignment vertical="top"/>
    </xf>
    <xf numFmtId="0" fontId="8" fillId="7" borderId="8" xfId="4" applyFont="1" applyBorder="1" applyAlignment="1">
      <alignment vertical="top"/>
    </xf>
    <xf numFmtId="0" fontId="8" fillId="9" borderId="8" xfId="6" applyFont="1" applyBorder="1" applyAlignment="1">
      <alignment vertical="top"/>
    </xf>
    <xf numFmtId="0" fontId="8" fillId="10" borderId="8" xfId="7" applyFont="1" applyBorder="1" applyAlignment="1">
      <alignment vertical="top"/>
    </xf>
    <xf numFmtId="0" fontId="8" fillId="6" borderId="8" xfId="3" applyFont="1" applyBorder="1" applyAlignment="1">
      <alignment vertical="top"/>
    </xf>
    <xf numFmtId="0" fontId="8" fillId="8" borderId="8" xfId="5" applyFont="1" applyBorder="1" applyAlignment="1">
      <alignment vertical="top"/>
    </xf>
    <xf numFmtId="0" fontId="8" fillId="11" borderId="8" xfId="8" applyFont="1" applyBorder="1" applyAlignment="1">
      <alignment vertical="top"/>
    </xf>
    <xf numFmtId="164" fontId="9" fillId="0" borderId="7" xfId="0" applyNumberFormat="1" applyFont="1" applyBorder="1" applyAlignment="1">
      <alignment vertical="top" wrapText="1"/>
    </xf>
    <xf numFmtId="0" fontId="11" fillId="2" borderId="1" xfId="0" applyFont="1" applyFill="1" applyBorder="1"/>
    <xf numFmtId="0" fontId="11" fillId="2" borderId="2" xfId="0" applyFont="1" applyFill="1" applyBorder="1"/>
    <xf numFmtId="1" fontId="9" fillId="0" borderId="3" xfId="0" applyNumberFormat="1" applyFont="1" applyBorder="1"/>
    <xf numFmtId="0" fontId="9" fillId="0" borderId="4" xfId="0" applyFont="1" applyBorder="1"/>
    <xf numFmtId="1" fontId="9" fillId="0" borderId="5" xfId="0" applyNumberFormat="1" applyFont="1" applyBorder="1"/>
    <xf numFmtId="0" fontId="9" fillId="0" borderId="6" xfId="0" applyFont="1" applyBorder="1"/>
    <xf numFmtId="0" fontId="11" fillId="2" borderId="0" xfId="0" applyFont="1" applyFill="1"/>
    <xf numFmtId="0" fontId="9" fillId="0" borderId="0" xfId="0" applyFont="1"/>
    <xf numFmtId="165" fontId="9" fillId="0" borderId="0" xfId="0" applyNumberFormat="1" applyFont="1"/>
    <xf numFmtId="0" fontId="11" fillId="2" borderId="0" xfId="0" applyFont="1" applyFill="1" applyAlignment="1">
      <alignment wrapText="1"/>
    </xf>
    <xf numFmtId="164" fontId="9" fillId="0" borderId="0" xfId="0" applyNumberFormat="1" applyFont="1"/>
    <xf numFmtId="164" fontId="9" fillId="0" borderId="0" xfId="0" applyNumberFormat="1" applyFont="1" applyAlignment="1">
      <alignment wrapText="1"/>
    </xf>
    <xf numFmtId="0" fontId="9" fillId="0" borderId="0" xfId="0" applyFont="1" applyAlignment="1">
      <alignment wrapText="1"/>
    </xf>
    <xf numFmtId="164" fontId="9" fillId="0" borderId="8" xfId="0" applyNumberFormat="1" applyFont="1" applyBorder="1" applyAlignment="1">
      <alignment vertical="top" wrapText="1"/>
    </xf>
    <xf numFmtId="164" fontId="9" fillId="0" borderId="9" xfId="0" applyNumberFormat="1" applyFont="1" applyBorder="1" applyAlignment="1">
      <alignment vertical="top" wrapText="1"/>
    </xf>
    <xf numFmtId="0" fontId="12" fillId="2" borderId="0" xfId="0" applyFont="1" applyFill="1"/>
    <xf numFmtId="0" fontId="13" fillId="12" borderId="0" xfId="0" applyFont="1" applyFill="1"/>
    <xf numFmtId="0" fontId="7" fillId="4" borderId="10" xfId="1" applyFont="1" applyBorder="1"/>
    <xf numFmtId="0" fontId="10" fillId="3" borderId="10" xfId="0" applyFont="1" applyFill="1" applyBorder="1" applyAlignment="1">
      <alignment vertical="center"/>
    </xf>
    <xf numFmtId="165" fontId="14" fillId="0" borderId="10" xfId="0" applyNumberFormat="1" applyFont="1" applyBorder="1"/>
    <xf numFmtId="164" fontId="15" fillId="0" borderId="10" xfId="0" applyNumberFormat="1" applyFont="1" applyBorder="1" applyAlignment="1">
      <alignment vertical="top" wrapText="1"/>
    </xf>
    <xf numFmtId="0" fontId="0" fillId="0" borderId="10" xfId="0" applyBorder="1" applyAlignment="1">
      <alignment horizontal="right"/>
    </xf>
    <xf numFmtId="9" fontId="0" fillId="0" borderId="10" xfId="0" applyNumberFormat="1" applyBorder="1"/>
    <xf numFmtId="164" fontId="16" fillId="0" borderId="10" xfId="0" applyNumberFormat="1" applyFont="1" applyBorder="1" applyAlignment="1">
      <alignment horizontal="left" vertical="top" wrapText="1"/>
    </xf>
    <xf numFmtId="0" fontId="16" fillId="0" borderId="10" xfId="0" applyFont="1" applyBorder="1" applyAlignment="1">
      <alignment horizontal="left" vertical="top" wrapText="1"/>
    </xf>
  </cellXfs>
  <cellStyles count="9">
    <cellStyle name="20% - Accent1" xfId="2" builtinId="30"/>
    <cellStyle name="20% - Accent2" xfId="4" builtinId="34"/>
    <cellStyle name="20% - Accent3" xfId="6" builtinId="38"/>
    <cellStyle name="20% - Accent5" xfId="7" builtinId="46"/>
    <cellStyle name="40% - Accent5" xfId="8" builtinId="47"/>
    <cellStyle name="60% - Accent1" xfId="3" builtinId="32"/>
    <cellStyle name="60% - Accent2" xfId="5" builtinId="36"/>
    <cellStyle name="Accent1" xfId="1" builtinId="29"/>
    <cellStyle name="Normal" xfId="0" builtinId="0"/>
  </cellStyles>
  <dxfs count="15"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34998626667073579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24994659260841701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1" tint="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Cyber risk appetite by category</a:t>
            </a:r>
          </a:p>
        </c:rich>
      </c:tx>
      <c:overlay val="0"/>
    </c:title>
    <c:autoTitleDeleted val="0"/>
    <c:plotArea>
      <c:layout/>
      <c:radarChart>
        <c:radarStyle val="marker"/>
        <c:varyColors val="1"/>
        <c:ser>
          <c:idx val="0"/>
          <c:order val="0"/>
          <c:tx>
            <c:v>Score</c:v>
          </c:tx>
          <c:spPr>
            <a:ln>
              <a:solidFill>
                <a:srgbClr val="FF0000"/>
              </a:solidFill>
            </a:ln>
          </c:spPr>
          <c:cat>
            <c:strRef>
              <c:f>Dashboard!$E$4:$E$10</c:f>
              <c:strCache>
                <c:ptCount val="7"/>
                <c:pt idx="0">
                  <c:v>Business Impact</c:v>
                </c:pt>
                <c:pt idx="1">
                  <c:v>Financial Exposure</c:v>
                </c:pt>
                <c:pt idx="2">
                  <c:v>Regulatory &amp; Legal</c:v>
                </c:pt>
                <c:pt idx="3">
                  <c:v>Data &amp; Privacy</c:v>
                </c:pt>
                <c:pt idx="4">
                  <c:v>Reputation &amp; Trust</c:v>
                </c:pt>
                <c:pt idx="5">
                  <c:v>Third-Party Risk</c:v>
                </c:pt>
                <c:pt idx="6">
                  <c:v>Innovation &amp; Growth</c:v>
                </c:pt>
              </c:strCache>
            </c:strRef>
          </c:cat>
          <c:val>
            <c:numRef>
              <c:f>Dashboard!$F$4:$F$10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51-42C8-8133-E924BB8977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rad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1200" b="1"/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  <c:majorUnit val="1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38099</xdr:colOff>
      <xdr:row>1</xdr:row>
      <xdr:rowOff>152399</xdr:rowOff>
    </xdr:from>
    <xdr:to>
      <xdr:col>10</xdr:col>
      <xdr:colOff>638175</xdr:colOff>
      <xdr:row>22</xdr:row>
      <xdr:rowOff>285749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showGridLines="0" workbookViewId="0">
      <selection activeCell="O15" sqref="O15"/>
    </sheetView>
  </sheetViews>
  <sheetFormatPr defaultRowHeight="14.25"/>
  <cols>
    <col min="1" max="1" width="26" customWidth="1"/>
    <col min="2" max="2" width="20.75" customWidth="1"/>
    <col min="3" max="3" width="28" customWidth="1"/>
    <col min="4" max="4" width="4" customWidth="1"/>
    <col min="5" max="6" width="16" customWidth="1"/>
    <col min="7" max="8" width="20" customWidth="1"/>
  </cols>
  <sheetData>
    <row r="1" spans="1:11" ht="30" customHeight="1">
      <c r="A1" s="55" t="s">
        <v>0</v>
      </c>
      <c r="B1" s="55"/>
      <c r="C1" s="55"/>
      <c r="D1" s="55"/>
      <c r="E1" s="55"/>
      <c r="F1" s="55"/>
      <c r="G1" s="55"/>
      <c r="H1" s="55"/>
      <c r="I1" s="8"/>
      <c r="J1" s="8"/>
      <c r="K1" s="8"/>
    </row>
    <row r="3" spans="1:11" ht="18.75">
      <c r="A3" s="56" t="s">
        <v>1</v>
      </c>
      <c r="B3" s="56"/>
      <c r="E3" s="5" t="s">
        <v>2</v>
      </c>
      <c r="F3" s="5" t="s">
        <v>3</v>
      </c>
    </row>
    <row r="4" spans="1:11" ht="26.25">
      <c r="A4" s="57" t="s">
        <v>3</v>
      </c>
      <c r="B4" s="58" t="str">
        <f>Calculations!$B$12</f>
        <v xml:space="preserve"> </v>
      </c>
      <c r="E4" s="5" t="str">
        <f>Calculations!$A$17</f>
        <v>Business Impact</v>
      </c>
      <c r="F4" s="5">
        <f>Calculations!$B$17</f>
        <v>0</v>
      </c>
    </row>
    <row r="5" spans="1:11" ht="15.75">
      <c r="A5" s="57" t="s">
        <v>4</v>
      </c>
      <c r="B5" s="59" t="str">
        <f>Calculations!$B$13</f>
        <v>Not started</v>
      </c>
      <c r="E5" s="5" t="str">
        <f>Calculations!$A$18</f>
        <v>Financial Exposure</v>
      </c>
      <c r="F5" s="5">
        <f>Calculations!$B$18</f>
        <v>0</v>
      </c>
    </row>
    <row r="6" spans="1:11" ht="15">
      <c r="A6" s="57" t="s">
        <v>5</v>
      </c>
      <c r="B6" s="60" t="str">
        <f>Calculations!$B$11&amp;" / 35"</f>
        <v>0 / 35</v>
      </c>
      <c r="E6" s="5" t="str">
        <f>Calculations!$A$19</f>
        <v>Regulatory &amp; Legal</v>
      </c>
      <c r="F6" s="5">
        <f>Calculations!$B$19</f>
        <v>0</v>
      </c>
    </row>
    <row r="7" spans="1:11" ht="15">
      <c r="A7" s="57" t="s">
        <v>6</v>
      </c>
      <c r="B7" s="61">
        <f>Calculations!$B$11/35</f>
        <v>0</v>
      </c>
      <c r="E7" s="5" t="str">
        <f>Calculations!$A$20</f>
        <v>Data &amp; Privacy</v>
      </c>
      <c r="F7" s="5">
        <f>Calculations!$B$20</f>
        <v>0</v>
      </c>
    </row>
    <row r="8" spans="1:11">
      <c r="E8" s="5" t="str">
        <f>Calculations!$A$21</f>
        <v>Reputation &amp; Trust</v>
      </c>
      <c r="F8" s="5">
        <f>Calculations!$B$21</f>
        <v>0</v>
      </c>
    </row>
    <row r="9" spans="1:11">
      <c r="E9" s="5" t="str">
        <f>Calculations!$A$22</f>
        <v>Third-Party Risk</v>
      </c>
      <c r="F9" s="5">
        <f>Calculations!$B$22</f>
        <v>0</v>
      </c>
    </row>
    <row r="10" spans="1:11" ht="18.75">
      <c r="A10" s="30" t="s">
        <v>2</v>
      </c>
      <c r="B10" s="30" t="s">
        <v>3</v>
      </c>
      <c r="C10" s="30" t="s">
        <v>4</v>
      </c>
      <c r="E10" s="5" t="str">
        <f>Calculations!$A$23</f>
        <v>Innovation &amp; Growth</v>
      </c>
      <c r="F10" s="5">
        <f>Calculations!$B$23</f>
        <v>0</v>
      </c>
    </row>
    <row r="11" spans="1:11" ht="15.75">
      <c r="A11" s="31" t="s">
        <v>13</v>
      </c>
      <c r="B11" s="31" t="str">
        <f>Calculations!$B$2</f>
        <v xml:space="preserve"> </v>
      </c>
      <c r="C11" s="38" t="str">
        <f>Calculations!$C$2</f>
        <v xml:space="preserve"> </v>
      </c>
    </row>
    <row r="12" spans="1:11" ht="15.75">
      <c r="A12" s="32" t="s">
        <v>19</v>
      </c>
      <c r="B12" s="32" t="str">
        <f>Calculations!$B$3</f>
        <v xml:space="preserve"> </v>
      </c>
      <c r="C12" s="38" t="str">
        <f>Calculations!$C$3</f>
        <v xml:space="preserve"> </v>
      </c>
    </row>
    <row r="13" spans="1:11" ht="15.75">
      <c r="A13" s="33" t="s">
        <v>25</v>
      </c>
      <c r="B13" s="33" t="str">
        <f>Calculations!$B$4</f>
        <v xml:space="preserve"> </v>
      </c>
      <c r="C13" s="38" t="str">
        <f>Calculations!$C$4</f>
        <v xml:space="preserve"> </v>
      </c>
    </row>
    <row r="14" spans="1:11" ht="15.75">
      <c r="A14" s="34" t="s">
        <v>31</v>
      </c>
      <c r="B14" s="34" t="str">
        <f>Calculations!$B$5</f>
        <v xml:space="preserve"> </v>
      </c>
      <c r="C14" s="38" t="str">
        <f>Calculations!$C$5</f>
        <v xml:space="preserve"> </v>
      </c>
    </row>
    <row r="15" spans="1:11" ht="15.75">
      <c r="A15" s="35" t="s">
        <v>37</v>
      </c>
      <c r="B15" s="35" t="str">
        <f>Calculations!$B$6</f>
        <v xml:space="preserve"> </v>
      </c>
      <c r="C15" s="38" t="str">
        <f>Calculations!$C$6</f>
        <v xml:space="preserve"> </v>
      </c>
    </row>
    <row r="16" spans="1:11" ht="15.75">
      <c r="A16" s="36" t="s">
        <v>43</v>
      </c>
      <c r="B16" s="36" t="str">
        <f>Calculations!$B$7</f>
        <v xml:space="preserve"> </v>
      </c>
      <c r="C16" s="38" t="str">
        <f>Calculations!$C$7</f>
        <v xml:space="preserve"> </v>
      </c>
    </row>
    <row r="17" spans="1:8" ht="15.75">
      <c r="A17" s="37" t="s">
        <v>49</v>
      </c>
      <c r="B17" s="37" t="str">
        <f>Calculations!$B$8</f>
        <v xml:space="preserve"> </v>
      </c>
      <c r="C17" s="38" t="str">
        <f>Calculations!$C$8</f>
        <v xml:space="preserve"> </v>
      </c>
    </row>
    <row r="20" spans="1:8" ht="42" customHeight="1">
      <c r="A20" s="6" t="str">
        <f>Calculations!$B$26</f>
        <v xml:space="preserve"> </v>
      </c>
      <c r="B20" s="7"/>
      <c r="C20" s="7"/>
      <c r="D20" s="7"/>
      <c r="E20" s="7"/>
      <c r="F20" s="7"/>
      <c r="G20" s="7"/>
      <c r="H20" s="7"/>
    </row>
    <row r="21" spans="1:8" ht="42" customHeight="1">
      <c r="A21" s="6"/>
      <c r="B21" s="7"/>
      <c r="C21" s="7"/>
      <c r="D21" s="7"/>
      <c r="E21" s="7"/>
      <c r="F21" s="7"/>
      <c r="G21" s="7"/>
      <c r="H21" s="7"/>
    </row>
    <row r="22" spans="1:8" ht="42" customHeight="1">
      <c r="A22" s="6" t="str">
        <f>Calculations!$B$28</f>
        <v xml:space="preserve"> </v>
      </c>
      <c r="B22" s="7"/>
      <c r="C22" s="7"/>
      <c r="D22" s="7"/>
      <c r="E22" s="7"/>
      <c r="F22" s="7"/>
      <c r="G22" s="7"/>
      <c r="H22" s="7"/>
    </row>
    <row r="23" spans="1:8" ht="42" customHeight="1">
      <c r="A23" s="4"/>
      <c r="B23" s="3"/>
      <c r="C23" s="3"/>
      <c r="D23" s="3"/>
      <c r="E23" s="3"/>
      <c r="F23" s="3"/>
      <c r="G23" s="3"/>
      <c r="H23" s="3"/>
    </row>
    <row r="24" spans="1:8" ht="42" customHeight="1">
      <c r="A24" s="27" t="s">
        <v>7</v>
      </c>
      <c r="B24" s="28"/>
      <c r="C24" s="28"/>
      <c r="D24" s="28"/>
      <c r="E24" s="28"/>
      <c r="F24" s="28"/>
      <c r="G24" s="28"/>
      <c r="H24" s="28"/>
    </row>
    <row r="25" spans="1:8" ht="15.75">
      <c r="A25" s="62" t="str">
        <f>Calculations!$B$35</f>
        <v>Complete the questionnaire to generate suggested governance actions.</v>
      </c>
      <c r="B25" s="63"/>
      <c r="C25" s="63"/>
      <c r="D25" s="63"/>
      <c r="E25" s="63"/>
      <c r="F25" s="63"/>
      <c r="G25" s="63"/>
      <c r="H25" s="63"/>
    </row>
    <row r="26" spans="1:8" ht="15.75">
      <c r="A26" s="62" t="str">
        <f>Calculations!$B$36</f>
        <v xml:space="preserve"> </v>
      </c>
      <c r="B26" s="63"/>
      <c r="C26" s="63"/>
      <c r="D26" s="63"/>
      <c r="E26" s="63"/>
      <c r="F26" s="63"/>
      <c r="G26" s="63"/>
      <c r="H26" s="63"/>
    </row>
    <row r="27" spans="1:8" ht="15.75">
      <c r="A27" s="62" t="str">
        <f>Calculations!$B$37</f>
        <v xml:space="preserve"> </v>
      </c>
      <c r="B27" s="63"/>
      <c r="C27" s="63"/>
      <c r="D27" s="63"/>
      <c r="E27" s="63"/>
      <c r="F27" s="63"/>
      <c r="G27" s="63"/>
      <c r="H27" s="63"/>
    </row>
    <row r="28" spans="1:8" ht="15.75">
      <c r="A28" s="62" t="str">
        <f>Calculations!$B$38</f>
        <v xml:space="preserve"> </v>
      </c>
      <c r="B28" s="63"/>
      <c r="C28" s="63"/>
      <c r="D28" s="63"/>
      <c r="E28" s="63"/>
      <c r="F28" s="63"/>
      <c r="G28" s="63"/>
      <c r="H28" s="63"/>
    </row>
    <row r="29" spans="1:8" ht="15.75">
      <c r="A29" s="62" t="str">
        <f>Calculations!$B$39</f>
        <v xml:space="preserve"> </v>
      </c>
      <c r="B29" s="63"/>
      <c r="C29" s="63"/>
      <c r="D29" s="63"/>
      <c r="E29" s="63"/>
      <c r="F29" s="63"/>
      <c r="G29" s="63"/>
      <c r="H29" s="63"/>
    </row>
    <row r="30" spans="1:8" ht="15.75">
      <c r="A30" s="62" t="str">
        <f>Calculations!$B$40</f>
        <v xml:space="preserve"> </v>
      </c>
      <c r="B30" s="63"/>
      <c r="C30" s="63"/>
      <c r="D30" s="63"/>
      <c r="E30" s="63"/>
      <c r="F30" s="63"/>
      <c r="G30" s="63"/>
      <c r="H30" s="63"/>
    </row>
    <row r="31" spans="1:8" ht="15.75">
      <c r="A31" s="62" t="str">
        <f>Calculations!$B$41</f>
        <v xml:space="preserve"> </v>
      </c>
      <c r="B31" s="63"/>
      <c r="C31" s="63"/>
      <c r="D31" s="63"/>
      <c r="E31" s="63"/>
      <c r="F31" s="63"/>
      <c r="G31" s="63"/>
      <c r="H31" s="63"/>
    </row>
    <row r="32" spans="1:8" ht="15.75">
      <c r="A32" s="62" t="str">
        <f>Calculations!$B$42</f>
        <v xml:space="preserve"> </v>
      </c>
      <c r="B32" s="63"/>
      <c r="C32" s="63"/>
      <c r="D32" s="63"/>
      <c r="E32" s="63"/>
      <c r="F32" s="63"/>
      <c r="G32" s="63"/>
      <c r="H32" s="63"/>
    </row>
    <row r="33" spans="1:8" ht="15.75">
      <c r="A33" s="62" t="str">
        <f>Calculations!$B$43</f>
        <v xml:space="preserve"> </v>
      </c>
      <c r="B33" s="63"/>
      <c r="C33" s="63"/>
      <c r="D33" s="63"/>
      <c r="E33" s="63"/>
      <c r="F33" s="63"/>
      <c r="G33" s="63"/>
      <c r="H33" s="63"/>
    </row>
  </sheetData>
  <mergeCells count="14">
    <mergeCell ref="A29:H29"/>
    <mergeCell ref="A30:H30"/>
    <mergeCell ref="A31:H31"/>
    <mergeCell ref="A32:H32"/>
    <mergeCell ref="A33:H33"/>
    <mergeCell ref="A24:H24"/>
    <mergeCell ref="A25:H25"/>
    <mergeCell ref="A26:H26"/>
    <mergeCell ref="A27:H27"/>
    <mergeCell ref="A28:H28"/>
    <mergeCell ref="A21:H21"/>
    <mergeCell ref="A22:H22"/>
    <mergeCell ref="A1:H1"/>
    <mergeCell ref="A20:H20"/>
  </mergeCells>
  <conditionalFormatting sqref="C11:C17">
    <cfRule type="cellIs" dxfId="14" priority="6" operator="equal">
      <formula>"Very high risk appetite"</formula>
    </cfRule>
    <cfRule type="cellIs" dxfId="13" priority="7" operator="equal">
      <formula>"High risk appetite"</formula>
    </cfRule>
    <cfRule type="cellIs" dxfId="12" priority="8" operator="equal">
      <formula>"Moderate risk appetite"</formula>
    </cfRule>
    <cfRule type="cellIs" dxfId="11" priority="9" operator="equal">
      <formula>"Low risk appetite"</formula>
    </cfRule>
    <cfRule type="cellIs" dxfId="10" priority="10" operator="equal">
      <formula>"Very low risk appetite"</formula>
    </cfRule>
  </conditionalFormatting>
  <conditionalFormatting sqref="B5">
    <cfRule type="cellIs" dxfId="9" priority="1" operator="equal">
      <formula>"Very high risk appetite"</formula>
    </cfRule>
    <cfRule type="cellIs" dxfId="8" priority="2" operator="equal">
      <formula>"High risk appetite"</formula>
    </cfRule>
    <cfRule type="cellIs" dxfId="7" priority="3" operator="equal">
      <formula>"Moderate risk appetite"</formula>
    </cfRule>
    <cfRule type="cellIs" dxfId="6" priority="4" operator="equal">
      <formula>"Low risk appetite"</formula>
    </cfRule>
    <cfRule type="cellIs" dxfId="5" priority="5" operator="equal">
      <formula>"Very low risk appetite"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tabSelected="1" workbookViewId="0">
      <selection activeCell="A5" sqref="A5"/>
    </sheetView>
  </sheetViews>
  <sheetFormatPr defaultRowHeight="14.25"/>
  <cols>
    <col min="1" max="1" width="6" customWidth="1"/>
    <col min="2" max="2" width="22" customWidth="1"/>
    <col min="3" max="3" width="93.875" customWidth="1"/>
    <col min="4" max="4" width="14" customWidth="1"/>
    <col min="5" max="5" width="26" customWidth="1"/>
  </cols>
  <sheetData>
    <row r="1" spans="1:5" ht="30" customHeight="1">
      <c r="A1" s="54" t="s">
        <v>8</v>
      </c>
      <c r="B1" s="54"/>
      <c r="C1" s="54"/>
      <c r="D1" s="54"/>
      <c r="E1" s="54"/>
    </row>
    <row r="4" spans="1:5" ht="15" customHeight="1">
      <c r="A4" s="29" t="s">
        <v>9</v>
      </c>
      <c r="B4" s="29" t="s">
        <v>2</v>
      </c>
      <c r="C4" s="29" t="s">
        <v>10</v>
      </c>
      <c r="D4" s="29" t="s">
        <v>11</v>
      </c>
      <c r="E4" s="29" t="s">
        <v>12</v>
      </c>
    </row>
    <row r="5" spans="1:5" ht="15">
      <c r="A5" s="9">
        <v>1</v>
      </c>
      <c r="B5" s="10" t="s">
        <v>13</v>
      </c>
      <c r="C5" s="9" t="s">
        <v>14</v>
      </c>
      <c r="D5" s="10"/>
      <c r="E5" s="38" t="str">
        <f t="shared" ref="E5:E40" si="0">IF(TRIM(D5&amp;"")=""," ",IF(D5&lt;1.5,"Very low risk appetite",IF(D5&lt;2.5,"Low risk appetite",IF(D5&lt;3.5,"Moderate risk appetite",IF(D5&lt;4.5,"High risk appetite","Very high risk appetite")))))</f>
        <v xml:space="preserve"> </v>
      </c>
    </row>
    <row r="6" spans="1:5" ht="15">
      <c r="A6" s="11">
        <v>2</v>
      </c>
      <c r="B6" s="12" t="s">
        <v>13</v>
      </c>
      <c r="C6" s="11" t="s">
        <v>15</v>
      </c>
      <c r="D6" s="12"/>
      <c r="E6" s="52" t="str">
        <f t="shared" si="0"/>
        <v xml:space="preserve"> </v>
      </c>
    </row>
    <row r="7" spans="1:5" ht="15">
      <c r="A7" s="11">
        <v>3</v>
      </c>
      <c r="B7" s="12" t="s">
        <v>13</v>
      </c>
      <c r="C7" s="11" t="s">
        <v>16</v>
      </c>
      <c r="D7" s="12"/>
      <c r="E7" s="52" t="str">
        <f t="shared" si="0"/>
        <v xml:space="preserve"> </v>
      </c>
    </row>
    <row r="8" spans="1:5" ht="15">
      <c r="A8" s="11">
        <v>4</v>
      </c>
      <c r="B8" s="12" t="s">
        <v>13</v>
      </c>
      <c r="C8" s="11" t="s">
        <v>17</v>
      </c>
      <c r="D8" s="12"/>
      <c r="E8" s="52" t="str">
        <f t="shared" si="0"/>
        <v xml:space="preserve"> </v>
      </c>
    </row>
    <row r="9" spans="1:5" ht="15">
      <c r="A9" s="11">
        <v>5</v>
      </c>
      <c r="B9" s="12" t="s">
        <v>13</v>
      </c>
      <c r="C9" s="11" t="s">
        <v>18</v>
      </c>
      <c r="D9" s="12"/>
      <c r="E9" s="52" t="str">
        <f t="shared" si="0"/>
        <v xml:space="preserve"> </v>
      </c>
    </row>
    <row r="10" spans="1:5" ht="15">
      <c r="A10" s="13">
        <v>6</v>
      </c>
      <c r="B10" s="14" t="s">
        <v>19</v>
      </c>
      <c r="C10" s="13" t="s">
        <v>20</v>
      </c>
      <c r="D10" s="14"/>
      <c r="E10" s="52" t="str">
        <f t="shared" si="0"/>
        <v xml:space="preserve"> </v>
      </c>
    </row>
    <row r="11" spans="1:5" ht="15">
      <c r="A11" s="13">
        <v>7</v>
      </c>
      <c r="B11" s="14" t="s">
        <v>19</v>
      </c>
      <c r="C11" s="13" t="s">
        <v>21</v>
      </c>
      <c r="D11" s="14"/>
      <c r="E11" s="52" t="str">
        <f t="shared" si="0"/>
        <v xml:space="preserve"> </v>
      </c>
    </row>
    <row r="12" spans="1:5" ht="15">
      <c r="A12" s="13">
        <v>8</v>
      </c>
      <c r="B12" s="14" t="s">
        <v>19</v>
      </c>
      <c r="C12" s="13" t="s">
        <v>22</v>
      </c>
      <c r="D12" s="14"/>
      <c r="E12" s="52" t="str">
        <f t="shared" si="0"/>
        <v xml:space="preserve"> </v>
      </c>
    </row>
    <row r="13" spans="1:5" ht="15">
      <c r="A13" s="13">
        <v>9</v>
      </c>
      <c r="B13" s="14" t="s">
        <v>19</v>
      </c>
      <c r="C13" s="13" t="s">
        <v>23</v>
      </c>
      <c r="D13" s="14"/>
      <c r="E13" s="52" t="str">
        <f t="shared" si="0"/>
        <v xml:space="preserve"> </v>
      </c>
    </row>
    <row r="14" spans="1:5" ht="15">
      <c r="A14" s="13">
        <v>10</v>
      </c>
      <c r="B14" s="14" t="s">
        <v>19</v>
      </c>
      <c r="C14" s="13" t="s">
        <v>24</v>
      </c>
      <c r="D14" s="14"/>
      <c r="E14" s="52" t="str">
        <f t="shared" si="0"/>
        <v xml:space="preserve"> </v>
      </c>
    </row>
    <row r="15" spans="1:5" ht="15">
      <c r="A15" s="15">
        <v>11</v>
      </c>
      <c r="B15" s="16" t="s">
        <v>25</v>
      </c>
      <c r="C15" s="15" t="s">
        <v>26</v>
      </c>
      <c r="D15" s="16"/>
      <c r="E15" s="52" t="str">
        <f t="shared" si="0"/>
        <v xml:space="preserve"> </v>
      </c>
    </row>
    <row r="16" spans="1:5" ht="15">
      <c r="A16" s="15">
        <v>12</v>
      </c>
      <c r="B16" s="16" t="s">
        <v>25</v>
      </c>
      <c r="C16" s="15" t="s">
        <v>27</v>
      </c>
      <c r="D16" s="16"/>
      <c r="E16" s="52" t="str">
        <f t="shared" si="0"/>
        <v xml:space="preserve"> </v>
      </c>
    </row>
    <row r="17" spans="1:5" ht="15">
      <c r="A17" s="15">
        <v>13</v>
      </c>
      <c r="B17" s="16" t="s">
        <v>25</v>
      </c>
      <c r="C17" s="15" t="s">
        <v>28</v>
      </c>
      <c r="D17" s="16"/>
      <c r="E17" s="52" t="str">
        <f t="shared" si="0"/>
        <v xml:space="preserve"> </v>
      </c>
    </row>
    <row r="18" spans="1:5" ht="15">
      <c r="A18" s="15">
        <v>14</v>
      </c>
      <c r="B18" s="16" t="s">
        <v>25</v>
      </c>
      <c r="C18" s="15" t="s">
        <v>29</v>
      </c>
      <c r="D18" s="16"/>
      <c r="E18" s="52" t="str">
        <f t="shared" si="0"/>
        <v xml:space="preserve"> </v>
      </c>
    </row>
    <row r="19" spans="1:5" ht="15">
      <c r="A19" s="15">
        <v>15</v>
      </c>
      <c r="B19" s="16" t="s">
        <v>25</v>
      </c>
      <c r="C19" s="15" t="s">
        <v>30</v>
      </c>
      <c r="D19" s="16"/>
      <c r="E19" s="52" t="str">
        <f t="shared" si="0"/>
        <v xml:space="preserve"> </v>
      </c>
    </row>
    <row r="20" spans="1:5" ht="15">
      <c r="A20" s="17">
        <v>16</v>
      </c>
      <c r="B20" s="18" t="s">
        <v>31</v>
      </c>
      <c r="C20" s="17" t="s">
        <v>32</v>
      </c>
      <c r="D20" s="18"/>
      <c r="E20" s="52" t="str">
        <f t="shared" si="0"/>
        <v xml:space="preserve"> </v>
      </c>
    </row>
    <row r="21" spans="1:5" ht="22.5" customHeight="1">
      <c r="A21" s="17">
        <v>17</v>
      </c>
      <c r="B21" s="18" t="s">
        <v>31</v>
      </c>
      <c r="C21" s="17" t="s">
        <v>33</v>
      </c>
      <c r="D21" s="18"/>
      <c r="E21" s="52" t="str">
        <f t="shared" si="0"/>
        <v xml:space="preserve"> </v>
      </c>
    </row>
    <row r="22" spans="1:5" ht="15">
      <c r="A22" s="17">
        <v>18</v>
      </c>
      <c r="B22" s="18" t="s">
        <v>31</v>
      </c>
      <c r="C22" s="17" t="s">
        <v>34</v>
      </c>
      <c r="D22" s="18"/>
      <c r="E22" s="52" t="str">
        <f t="shared" si="0"/>
        <v xml:space="preserve"> </v>
      </c>
    </row>
    <row r="23" spans="1:5" ht="15">
      <c r="A23" s="17">
        <v>19</v>
      </c>
      <c r="B23" s="18" t="s">
        <v>31</v>
      </c>
      <c r="C23" s="17" t="s">
        <v>35</v>
      </c>
      <c r="D23" s="18"/>
      <c r="E23" s="52" t="str">
        <f t="shared" si="0"/>
        <v xml:space="preserve"> </v>
      </c>
    </row>
    <row r="24" spans="1:5" ht="15">
      <c r="A24" s="17">
        <v>20</v>
      </c>
      <c r="B24" s="18" t="s">
        <v>31</v>
      </c>
      <c r="C24" s="17" t="s">
        <v>36</v>
      </c>
      <c r="D24" s="18"/>
      <c r="E24" s="52" t="str">
        <f t="shared" si="0"/>
        <v xml:space="preserve"> </v>
      </c>
    </row>
    <row r="25" spans="1:5" ht="15">
      <c r="A25" s="19">
        <v>21</v>
      </c>
      <c r="B25" s="20" t="s">
        <v>37</v>
      </c>
      <c r="C25" s="19" t="s">
        <v>38</v>
      </c>
      <c r="D25" s="20"/>
      <c r="E25" s="52" t="str">
        <f t="shared" si="0"/>
        <v xml:space="preserve"> </v>
      </c>
    </row>
    <row r="26" spans="1:5" ht="15">
      <c r="A26" s="19">
        <v>22</v>
      </c>
      <c r="B26" s="20" t="s">
        <v>37</v>
      </c>
      <c r="C26" s="19" t="s">
        <v>39</v>
      </c>
      <c r="D26" s="20"/>
      <c r="E26" s="52" t="str">
        <f t="shared" si="0"/>
        <v xml:space="preserve"> </v>
      </c>
    </row>
    <row r="27" spans="1:5" ht="15">
      <c r="A27" s="19">
        <v>23</v>
      </c>
      <c r="B27" s="20" t="s">
        <v>37</v>
      </c>
      <c r="C27" s="19" t="s">
        <v>40</v>
      </c>
      <c r="D27" s="20"/>
      <c r="E27" s="52" t="str">
        <f t="shared" si="0"/>
        <v xml:space="preserve"> </v>
      </c>
    </row>
    <row r="28" spans="1:5" ht="15">
      <c r="A28" s="19">
        <v>24</v>
      </c>
      <c r="B28" s="20" t="s">
        <v>37</v>
      </c>
      <c r="C28" s="19" t="s">
        <v>41</v>
      </c>
      <c r="D28" s="20"/>
      <c r="E28" s="52" t="str">
        <f t="shared" si="0"/>
        <v xml:space="preserve"> </v>
      </c>
    </row>
    <row r="29" spans="1:5" ht="15">
      <c r="A29" s="19">
        <v>25</v>
      </c>
      <c r="B29" s="20" t="s">
        <v>37</v>
      </c>
      <c r="C29" s="19" t="s">
        <v>42</v>
      </c>
      <c r="D29" s="20"/>
      <c r="E29" s="52" t="str">
        <f t="shared" si="0"/>
        <v xml:space="preserve"> </v>
      </c>
    </row>
    <row r="30" spans="1:5" ht="15">
      <c r="A30" s="21">
        <v>26</v>
      </c>
      <c r="B30" s="22" t="s">
        <v>43</v>
      </c>
      <c r="C30" s="21" t="s">
        <v>44</v>
      </c>
      <c r="D30" s="22"/>
      <c r="E30" s="52" t="str">
        <f t="shared" si="0"/>
        <v xml:space="preserve"> </v>
      </c>
    </row>
    <row r="31" spans="1:5" ht="15">
      <c r="A31" s="21">
        <v>27</v>
      </c>
      <c r="B31" s="22" t="s">
        <v>43</v>
      </c>
      <c r="C31" s="21" t="s">
        <v>45</v>
      </c>
      <c r="D31" s="22"/>
      <c r="E31" s="52" t="str">
        <f t="shared" si="0"/>
        <v xml:space="preserve"> </v>
      </c>
    </row>
    <row r="32" spans="1:5" ht="19.5" customHeight="1">
      <c r="A32" s="21">
        <v>28</v>
      </c>
      <c r="B32" s="22" t="s">
        <v>43</v>
      </c>
      <c r="C32" s="21" t="s">
        <v>46</v>
      </c>
      <c r="D32" s="22"/>
      <c r="E32" s="52" t="str">
        <f t="shared" si="0"/>
        <v xml:space="preserve"> </v>
      </c>
    </row>
    <row r="33" spans="1:5" ht="15">
      <c r="A33" s="21">
        <v>29</v>
      </c>
      <c r="B33" s="22" t="s">
        <v>43</v>
      </c>
      <c r="C33" s="21" t="s">
        <v>47</v>
      </c>
      <c r="D33" s="22"/>
      <c r="E33" s="52" t="str">
        <f t="shared" si="0"/>
        <v xml:space="preserve"> </v>
      </c>
    </row>
    <row r="34" spans="1:5" ht="15">
      <c r="A34" s="21">
        <v>30</v>
      </c>
      <c r="B34" s="22" t="s">
        <v>43</v>
      </c>
      <c r="C34" s="21" t="s">
        <v>48</v>
      </c>
      <c r="D34" s="22"/>
      <c r="E34" s="52" t="str">
        <f t="shared" si="0"/>
        <v xml:space="preserve"> </v>
      </c>
    </row>
    <row r="35" spans="1:5" ht="15">
      <c r="A35" s="23">
        <v>31</v>
      </c>
      <c r="B35" s="24" t="s">
        <v>49</v>
      </c>
      <c r="C35" s="23" t="s">
        <v>50</v>
      </c>
      <c r="D35" s="24"/>
      <c r="E35" s="52" t="str">
        <f t="shared" si="0"/>
        <v xml:space="preserve"> </v>
      </c>
    </row>
    <row r="36" spans="1:5" ht="15">
      <c r="A36" s="23">
        <v>32</v>
      </c>
      <c r="B36" s="24" t="s">
        <v>49</v>
      </c>
      <c r="C36" s="23" t="s">
        <v>51</v>
      </c>
      <c r="D36" s="24"/>
      <c r="E36" s="52" t="str">
        <f t="shared" si="0"/>
        <v xml:space="preserve"> </v>
      </c>
    </row>
    <row r="37" spans="1:5" ht="15">
      <c r="A37" s="23">
        <v>33</v>
      </c>
      <c r="B37" s="24" t="s">
        <v>49</v>
      </c>
      <c r="C37" s="23" t="s">
        <v>52</v>
      </c>
      <c r="D37" s="24"/>
      <c r="E37" s="52" t="str">
        <f t="shared" si="0"/>
        <v xml:space="preserve"> </v>
      </c>
    </row>
    <row r="38" spans="1:5" ht="15">
      <c r="A38" s="23">
        <v>34</v>
      </c>
      <c r="B38" s="24" t="s">
        <v>49</v>
      </c>
      <c r="C38" s="23" t="s">
        <v>53</v>
      </c>
      <c r="D38" s="24"/>
      <c r="E38" s="52" t="str">
        <f t="shared" si="0"/>
        <v xml:space="preserve"> </v>
      </c>
    </row>
    <row r="39" spans="1:5" ht="15">
      <c r="A39" s="25">
        <v>35</v>
      </c>
      <c r="B39" s="26" t="s">
        <v>49</v>
      </c>
      <c r="C39" s="25" t="s">
        <v>54</v>
      </c>
      <c r="D39" s="26"/>
      <c r="E39" s="53" t="str">
        <f t="shared" si="0"/>
        <v xml:space="preserve"> </v>
      </c>
    </row>
  </sheetData>
  <mergeCells count="1">
    <mergeCell ref="A1:E1"/>
  </mergeCells>
  <conditionalFormatting sqref="E5:E39">
    <cfRule type="cellIs" dxfId="4" priority="1" operator="equal">
      <formula>"Very high risk appetite"</formula>
    </cfRule>
    <cfRule type="cellIs" dxfId="3" priority="2" operator="equal">
      <formula>"High risk appetite"</formula>
    </cfRule>
    <cfRule type="cellIs" dxfId="2" priority="3" operator="equal">
      <formula>"Moderate risk appetite"</formula>
    </cfRule>
    <cfRule type="cellIs" dxfId="1" priority="4" operator="equal">
      <formula>"Low risk appetite"</formula>
    </cfRule>
    <cfRule type="cellIs" dxfId="0" priority="5" operator="equal">
      <formula>"Very low risk appetite"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100-000000000000}">
          <x14:formula1>
            <xm:f>Lists!$A$2:$A$6</xm:f>
          </x14:formula1>
          <xm:sqref>D5:D39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4"/>
  <sheetViews>
    <sheetView showGridLines="0" topLeftCell="A14" workbookViewId="0">
      <selection activeCell="A14" sqref="A1:B1048576"/>
    </sheetView>
  </sheetViews>
  <sheetFormatPr defaultRowHeight="15"/>
  <cols>
    <col min="1" max="1" width="16.25" style="46" customWidth="1"/>
    <col min="2" max="2" width="53.5" style="46" customWidth="1"/>
  </cols>
  <sheetData>
    <row r="1" spans="1:3">
      <c r="A1" s="45" t="s">
        <v>2</v>
      </c>
      <c r="B1" s="45" t="s">
        <v>3</v>
      </c>
      <c r="C1" s="1" t="s">
        <v>4</v>
      </c>
    </row>
    <row r="2" spans="1:3">
      <c r="A2" s="46" t="s">
        <v>13</v>
      </c>
      <c r="B2" s="47" t="str">
        <f>IF(COUNTIFS(Questionnaire!$B$5:$B$39,A2,Questionnaire!$D$5:$D$39,"&gt;0")=0," ",AVERAGEIF(Questionnaire!$B$5:$B$39,A2,Questionnaire!$D$5:$D$39))</f>
        <v xml:space="preserve"> </v>
      </c>
      <c r="C2" s="2" t="str">
        <f t="shared" ref="C2:C8" si="0">IF(TRIM(B2&amp;"")=""," ",IF(B2&lt;1.5,"Very low risk appetite",IF(B2&lt;2.5,"Low risk appetite",IF(B2&lt;3.5,"Moderate risk appetite",IF(B2&lt;4.5,"High risk appetite","Very high risk appetite")))))</f>
        <v xml:space="preserve"> </v>
      </c>
    </row>
    <row r="3" spans="1:3">
      <c r="A3" s="46" t="s">
        <v>19</v>
      </c>
      <c r="B3" s="47" t="str">
        <f>IF(COUNTIFS(Questionnaire!$B$5:$B$39,A3,Questionnaire!$D$5:$D$39,"&gt;0")=0," ",AVERAGEIF(Questionnaire!$B$5:$B$39,A3,Questionnaire!$D$5:$D$39))</f>
        <v xml:space="preserve"> </v>
      </c>
      <c r="C3" s="2" t="str">
        <f t="shared" si="0"/>
        <v xml:space="preserve"> </v>
      </c>
    </row>
    <row r="4" spans="1:3">
      <c r="A4" s="46" t="s">
        <v>25</v>
      </c>
      <c r="B4" s="47" t="str">
        <f>IF(COUNTIFS(Questionnaire!$B$5:$B$39,A4,Questionnaire!$D$5:$D$39,"&gt;0")=0," ",AVERAGEIF(Questionnaire!$B$5:$B$39,A4,Questionnaire!$D$5:$D$39))</f>
        <v xml:space="preserve"> </v>
      </c>
      <c r="C4" s="2" t="str">
        <f t="shared" si="0"/>
        <v xml:space="preserve"> </v>
      </c>
    </row>
    <row r="5" spans="1:3">
      <c r="A5" s="46" t="s">
        <v>31</v>
      </c>
      <c r="B5" s="47" t="str">
        <f>IF(COUNTIFS(Questionnaire!$B$5:$B$39,A5,Questionnaire!$D$5:$D$39,"&gt;0")=0," ",AVERAGEIF(Questionnaire!$B$5:$B$39,A5,Questionnaire!$D$5:$D$39))</f>
        <v xml:space="preserve"> </v>
      </c>
      <c r="C5" s="2" t="str">
        <f t="shared" si="0"/>
        <v xml:space="preserve"> </v>
      </c>
    </row>
    <row r="6" spans="1:3">
      <c r="A6" s="46" t="s">
        <v>37</v>
      </c>
      <c r="B6" s="47" t="str">
        <f>IF(COUNTIFS(Questionnaire!$B$5:$B$39,A6,Questionnaire!$D$5:$D$39,"&gt;0")=0," ",AVERAGEIF(Questionnaire!$B$5:$B$39,A6,Questionnaire!$D$5:$D$39))</f>
        <v xml:space="preserve"> </v>
      </c>
      <c r="C6" s="2" t="str">
        <f t="shared" si="0"/>
        <v xml:space="preserve"> </v>
      </c>
    </row>
    <row r="7" spans="1:3">
      <c r="A7" s="46" t="s">
        <v>43</v>
      </c>
      <c r="B7" s="47" t="str">
        <f>IF(COUNTIFS(Questionnaire!$B$5:$B$39,A7,Questionnaire!$D$5:$D$39,"&gt;0")=0," ",AVERAGEIF(Questionnaire!$B$5:$B$39,A7,Questionnaire!$D$5:$D$39))</f>
        <v xml:space="preserve"> </v>
      </c>
      <c r="C7" s="2" t="str">
        <f t="shared" si="0"/>
        <v xml:space="preserve"> </v>
      </c>
    </row>
    <row r="8" spans="1:3">
      <c r="A8" s="46" t="s">
        <v>49</v>
      </c>
      <c r="B8" s="47" t="str">
        <f>IF(COUNTIFS(Questionnaire!$B$5:$B$39,A8,Questionnaire!$D$5:$D$39,"&gt;0")=0," ",AVERAGEIF(Questionnaire!$B$5:$B$39,A8,Questionnaire!$D$5:$D$39))</f>
        <v xml:space="preserve"> </v>
      </c>
      <c r="C8" s="2" t="str">
        <f t="shared" si="0"/>
        <v xml:space="preserve"> </v>
      </c>
    </row>
    <row r="10" spans="1:3">
      <c r="A10" s="45" t="s">
        <v>55</v>
      </c>
      <c r="B10" s="45" t="s">
        <v>56</v>
      </c>
    </row>
    <row r="11" spans="1:3">
      <c r="A11" s="46" t="s">
        <v>57</v>
      </c>
      <c r="B11" s="46">
        <f>COUNT(Questionnaire!$D$5:$D$39)</f>
        <v>0</v>
      </c>
    </row>
    <row r="12" spans="1:3">
      <c r="A12" s="46" t="s">
        <v>58</v>
      </c>
      <c r="B12" s="47" t="str">
        <f>IF(B11=0," ",AVERAGE(Questionnaire!$D$5:$D$39))</f>
        <v xml:space="preserve"> </v>
      </c>
    </row>
    <row r="13" spans="1:3">
      <c r="A13" s="46" t="s">
        <v>59</v>
      </c>
      <c r="B13" s="46" t="str">
        <f>IF(B11=0,"Not started",IF(B12&lt;1.5,"Very low risk appetite",IF(B12&lt;2.5,"Low risk appetite",IF(B12&lt;3.5,"Moderate risk appetite",IF(B12&lt;4.5,"High risk appetite","Very high risk appetite")))))</f>
        <v>Not started</v>
      </c>
    </row>
    <row r="16" spans="1:3">
      <c r="A16" s="45" t="s">
        <v>2</v>
      </c>
      <c r="B16" s="45" t="s">
        <v>3</v>
      </c>
    </row>
    <row r="17" spans="1:2">
      <c r="A17" s="46" t="str">
        <f t="shared" ref="A17:A23" si="1">A2</f>
        <v>Business Impact</v>
      </c>
      <c r="B17" s="47">
        <f t="shared" ref="B17:B23" si="2">IF(TRIM(B2&amp;"")="",0,B2)</f>
        <v>0</v>
      </c>
    </row>
    <row r="18" spans="1:2">
      <c r="A18" s="46" t="str">
        <f t="shared" si="1"/>
        <v>Financial Exposure</v>
      </c>
      <c r="B18" s="47">
        <f t="shared" si="2"/>
        <v>0</v>
      </c>
    </row>
    <row r="19" spans="1:2">
      <c r="A19" s="46" t="str">
        <f t="shared" si="1"/>
        <v>Regulatory &amp; Legal</v>
      </c>
      <c r="B19" s="47">
        <f t="shared" si="2"/>
        <v>0</v>
      </c>
    </row>
    <row r="20" spans="1:2">
      <c r="A20" s="46" t="str">
        <f t="shared" si="1"/>
        <v>Data &amp; Privacy</v>
      </c>
      <c r="B20" s="47">
        <f t="shared" si="2"/>
        <v>0</v>
      </c>
    </row>
    <row r="21" spans="1:2">
      <c r="A21" s="46" t="str">
        <f t="shared" si="1"/>
        <v>Reputation &amp; Trust</v>
      </c>
      <c r="B21" s="47">
        <f t="shared" si="2"/>
        <v>0</v>
      </c>
    </row>
    <row r="22" spans="1:2">
      <c r="A22" s="46" t="str">
        <f t="shared" si="1"/>
        <v>Third-Party Risk</v>
      </c>
      <c r="B22" s="47">
        <f t="shared" si="2"/>
        <v>0</v>
      </c>
    </row>
    <row r="23" spans="1:2">
      <c r="A23" s="46" t="str">
        <f t="shared" si="1"/>
        <v>Innovation &amp; Growth</v>
      </c>
      <c r="B23" s="47">
        <f t="shared" si="2"/>
        <v>0</v>
      </c>
    </row>
    <row r="25" spans="1:2">
      <c r="A25" s="45" t="s">
        <v>60</v>
      </c>
      <c r="B25" s="48" t="s">
        <v>61</v>
      </c>
    </row>
    <row r="26" spans="1:2">
      <c r="A26" s="49" t="str">
        <f>IF(AND(OR(Questionnaire!$D$5&lt;=2,Questionnaire!$D$6&lt;=2,Questionnaire!$D$7&lt;=2),OR(Questionnaire!$D$19&gt;=4)),"Shown"," ")</f>
        <v xml:space="preserve"> </v>
      </c>
      <c r="B26" s="50" t="str">
        <f>IF(A26="Shown","Low tolerance for outages or disruption is paired with high tolerance for delayed audit remediation."," ")</f>
        <v xml:space="preserve"> </v>
      </c>
    </row>
    <row r="27" spans="1:2" ht="30">
      <c r="A27" s="49" t="str">
        <f>IF(AND(OR(Questionnaire!$D$15&lt;=2,Questionnaire!$D$16&lt;=2),OR(Questionnaire!$D$18&gt;=4,Questionnaire!$D$35&gt;=4,Questionnaire!$D$37&gt;=4)),"Shown"," ")</f>
        <v xml:space="preserve"> </v>
      </c>
      <c r="B27" s="50" t="str">
        <f>IF(A27="Shown","Low tolerance for compliance findings is paired with willingness to launch or adopt technology before reviews are complete."," ")</f>
        <v xml:space="preserve"> </v>
      </c>
    </row>
    <row r="28" spans="1:2">
      <c r="A28" s="49" t="str">
        <f>IF(AND(OR(Questionnaire!$D$20&lt;=2),OR(Questionnaire!$D$22&gt;=4,Questionnaire!$D$23&gt;=4,Questionnaire!$D$24&gt;=4)),"Shown"," ")</f>
        <v xml:space="preserve"> </v>
      </c>
      <c r="B28" s="50" t="str">
        <f>IF(A28="Shown","Low appetite for sensitive-data risk is paired with higher appetite for sharing or expanding use of that data."," ")</f>
        <v xml:space="preserve"> </v>
      </c>
    </row>
    <row r="29" spans="1:2" ht="30">
      <c r="A29" s="49" t="str">
        <f>IF(AND(OR(Questionnaire!$D$25&lt;=2,Questionnaire!$D$26&lt;=2,Questionnaire!$D$27&lt;=2),OR(Questionnaire!$D$28&gt;=4,Questionnaire!$D$37&gt;=4,Questionnaire!$D$38&gt;=4)),"Shown"," ")</f>
        <v xml:space="preserve"> </v>
      </c>
      <c r="B29" s="50" t="str">
        <f>IF(A29="Shown","Low tolerance for reputation damage is paired with willingness to take public or speed-driven cyber risks."," ")</f>
        <v xml:space="preserve"> </v>
      </c>
    </row>
    <row r="30" spans="1:2">
      <c r="A30" s="49" t="str">
        <f>IF(AND(OR(Questionnaire!$D$30&lt;=2,Questionnaire!$D$33&lt;=2),OR(Questionnaire!$D$31&gt;=4,Questionnaire!$D$32&gt;=4,Questionnaire!$D$34&gt;=4)),"Shown"," ")</f>
        <v xml:space="preserve"> </v>
      </c>
      <c r="B30" s="50" t="str">
        <f>IF(A30="Shown","Low tolerance for vendor risk is paired with willingness to onboard quickly, rely on assurances, or continue with known weaknesses."," ")</f>
        <v xml:space="preserve"> </v>
      </c>
    </row>
    <row r="31" spans="1:2">
      <c r="A31" s="49" t="str">
        <f>IF(AND(OR(Questionnaire!$D$10&lt;=2),OR(Questionnaire!$D$11&gt;=4,Questionnaire!$D$12&gt;=4,Questionnaire!$D$13&gt;=4)),"Shown"," ")</f>
        <v xml:space="preserve"> </v>
      </c>
      <c r="B31" s="50" t="str">
        <f>IF(A31="Shown","Low tolerance for cyber financial loss is paired with willingness to reduce spending, rely on insurance, or accept uncertain costs."," ")</f>
        <v xml:space="preserve"> </v>
      </c>
    </row>
    <row r="32" spans="1:2">
      <c r="B32" s="51"/>
    </row>
    <row r="33" spans="1:2">
      <c r="B33" s="51"/>
    </row>
    <row r="34" spans="1:2">
      <c r="A34" s="45" t="s">
        <v>62</v>
      </c>
      <c r="B34" s="48" t="s">
        <v>63</v>
      </c>
    </row>
    <row r="35" spans="1:2" ht="30">
      <c r="A35" s="46" t="str">
        <f>IF($B$11=0,"Pending",IF($B$12&lt;2.5,"Low appetite",IF($B$12&lt;3.5,"Moderate appetite","High appetite")))</f>
        <v>Pending</v>
      </c>
      <c r="B35" s="51" t="str">
        <f>IF($B$11=0,"Complete the questionnaire to generate suggested governance actions.",IF($B$12&lt;2.5,"Codify conservative cyber appetite statements with hard stops for outages, regulatory exposure, sensitive data, and third-party exceptions.",IF($B$12&lt;3.5,"Adopt tiered decision rights so routine risks can move quickly while material exceptions escalate to a risk committee.","Document explicit risk acceptance criteria so higher appetite remains intentional, bounded, and visible to executive leadership.")))</f>
        <v>Complete the questionnaire to generate suggested governance actions.</v>
      </c>
    </row>
    <row r="36" spans="1:2" ht="30">
      <c r="A36" s="49" t="str">
        <f>IF($B$11=0," ",IF($B$12&lt;2.5,"Low appetite",IF($B$12&lt;3.5,"Moderate appetite","High appetite")))</f>
        <v xml:space="preserve"> </v>
      </c>
      <c r="B36" s="50" t="str">
        <f>IF($B$11=0," ",IF($B$12&lt;2.5,"Require senior approval for risk acceptance and define short remediation windows for critical and high findings.",IF($B$12&lt;3.5,"Define key risk indicators for downtime, remediation aging, vendor exceptions, privacy exposure, and insurance reliance.","Pair innovation and growth decisions with minimum security guardrails, exception expiry dates, and compensating controls.")))</f>
        <v xml:space="preserve"> </v>
      </c>
    </row>
    <row r="37" spans="1:2" ht="30">
      <c r="A37" s="49" t="str">
        <f>IF($B$11=0," ",IF($B$12&lt;2.5,"Low appetite",IF($B$12&lt;3.5,"Moderate appetite","High appetite")))</f>
        <v xml:space="preserve"> </v>
      </c>
      <c r="B37" s="50" t="str">
        <f>IF($B$11=0," ",IF($B$12&lt;2.5,"Use scenario exercises to confirm strict appetite levels are supported by budget, staffing, continuity plans, and executive decision speed.",IF($B$12&lt;3.5,"Review appetite quarterly against incident trends, audit results, and major business initiatives.","Validate cyber insurance, incident response, legal readiness, and customer communications through tabletop exercises.")))</f>
        <v xml:space="preserve"> </v>
      </c>
    </row>
    <row r="38" spans="1:2">
      <c r="A38" s="49" t="str">
        <f t="shared" ref="A38:A44" si="3">IF(TRIM(B2&amp;"")=""," ",IF(B2&gt;=4,"High category",IF(B2&lt;=2,"Low category"," ")))</f>
        <v xml:space="preserve"> </v>
      </c>
      <c r="B38" s="50" t="str">
        <f>IF(TRIM(B2&amp;"")=""," ",IF(B2&gt;=4,"For Business Impact, require executive visibility for material risk acceptance because the category score indicates high tolerance.",IF(B2&lt;=2,"For Business Impact, convert low appetite into measurable thresholds, approval gates, and remediation service levels."," ")))</f>
        <v xml:space="preserve"> </v>
      </c>
    </row>
    <row r="39" spans="1:2" ht="45">
      <c r="A39" s="49" t="str">
        <f t="shared" si="3"/>
        <v xml:space="preserve"> </v>
      </c>
      <c r="B39" s="50" t="str">
        <f>IF(TRIM(B3&amp;"")=""," ",IF(B3&gt;=4,"For Financial Exposure, require executive visibility for material risk acceptance because the category score indicates high tolerance.",IF(B3&lt;=2,"For Financial Exposure, convert low appetite into measurable thresholds, approval gates, and remediation service levels."," ")))</f>
        <v xml:space="preserve"> </v>
      </c>
    </row>
    <row r="40" spans="1:2">
      <c r="A40" s="49" t="str">
        <f t="shared" si="3"/>
        <v xml:space="preserve"> </v>
      </c>
      <c r="B40" s="50" t="str">
        <f>IF(TRIM(B4&amp;"")=""," ",IF(B4&gt;=4,"For Regulatory &amp; Legal, require executive visibility for material risk acceptance because the category score indicates high tolerance.",IF(B4&lt;=2,"For Regulatory &amp; Legal, convert low appetite into measurable thresholds, approval gates, and remediation service levels."," ")))</f>
        <v xml:space="preserve"> </v>
      </c>
    </row>
    <row r="41" spans="1:2" ht="30">
      <c r="A41" s="49" t="str">
        <f t="shared" si="3"/>
        <v xml:space="preserve"> </v>
      </c>
      <c r="B41" s="50" t="str">
        <f>IF(TRIM(B5&amp;"")=""," ",IF(B5&gt;=4,"For Data &amp; Privacy, require executive visibility for material risk acceptance because the category score indicates high tolerance.",IF(B5&lt;=2,"For Data &amp; Privacy, convert low appetite into measurable thresholds, approval gates, and remediation service levels."," ")))</f>
        <v xml:space="preserve"> </v>
      </c>
    </row>
    <row r="42" spans="1:2">
      <c r="A42" s="49" t="str">
        <f t="shared" si="3"/>
        <v xml:space="preserve"> </v>
      </c>
      <c r="B42" s="50" t="str">
        <f>IF(TRIM(B6&amp;"")=""," ",IF(B6&gt;=4,"For Reputation &amp; Trust, require executive visibility for material risk acceptance because the category score indicates high tolerance.",IF(B6&lt;=2,"For Reputation &amp; Trust, convert low appetite into measurable thresholds, approval gates, and remediation service levels."," ")))</f>
        <v xml:space="preserve"> </v>
      </c>
    </row>
    <row r="43" spans="1:2" ht="30">
      <c r="A43" s="49" t="str">
        <f t="shared" si="3"/>
        <v xml:space="preserve"> </v>
      </c>
      <c r="B43" s="50" t="str">
        <f>IF(TRIM(B7&amp;"")=""," ",IF(B7&gt;=4,"For Third-Party Risk, require executive visibility for material risk acceptance because the category score indicates high tolerance.",IF(B7&lt;=2,"For Third-Party Risk, convert low appetite into measurable thresholds, approval gates, and remediation service levels."," ")))</f>
        <v xml:space="preserve"> </v>
      </c>
    </row>
    <row r="44" spans="1:2">
      <c r="A44" s="49" t="str">
        <f t="shared" si="3"/>
        <v xml:space="preserve"> </v>
      </c>
      <c r="B44" s="50" t="str">
        <f>IF(TRIM(B8&amp;"")=""," ",IF(B8&gt;=4,"For Innovation &amp; Growth, require executive visibility for material risk acceptance because the category score indicates high tolerance.",IF(B8&lt;=2,"For Innovation &amp; Growth, convert low appetite into measurable thresholds, approval gates, and remediation service levels."," ")))</f>
        <v xml:space="preserve"> 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showGridLines="0" workbookViewId="0">
      <selection sqref="A1:B6"/>
    </sheetView>
  </sheetViews>
  <sheetFormatPr defaultRowHeight="14.25"/>
  <cols>
    <col min="1" max="1" width="5.75" bestFit="1" customWidth="1"/>
    <col min="2" max="2" width="18.875" bestFit="1" customWidth="1"/>
  </cols>
  <sheetData>
    <row r="1" spans="1:2" ht="15">
      <c r="A1" s="39" t="s">
        <v>56</v>
      </c>
      <c r="B1" s="40" t="s">
        <v>64</v>
      </c>
    </row>
    <row r="2" spans="1:2" ht="15">
      <c r="A2" s="41">
        <v>1</v>
      </c>
      <c r="B2" s="42" t="s">
        <v>65</v>
      </c>
    </row>
    <row r="3" spans="1:2" ht="15">
      <c r="A3" s="41">
        <v>2</v>
      </c>
      <c r="B3" s="42" t="s">
        <v>66</v>
      </c>
    </row>
    <row r="4" spans="1:2" ht="15">
      <c r="A4" s="41">
        <v>3</v>
      </c>
      <c r="B4" s="42" t="s">
        <v>67</v>
      </c>
    </row>
    <row r="5" spans="1:2" ht="15">
      <c r="A5" s="41">
        <v>4</v>
      </c>
      <c r="B5" s="42" t="s">
        <v>68</v>
      </c>
    </row>
    <row r="6" spans="1:2" ht="15">
      <c r="A6" s="43">
        <v>5</v>
      </c>
      <c r="B6" s="4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Questionnaire</vt:lpstr>
      <vt:lpstr>Calculations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Jean-luc Dupont</cp:lastModifiedBy>
  <dcterms:modified xsi:type="dcterms:W3CDTF">2026-07-19T17:25:25Z</dcterms:modified>
</cp:coreProperties>
</file>